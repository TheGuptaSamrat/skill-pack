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aw Data" sheetId="2" state="visible" r:id="rId2"/>
    <sheet name="Table Trend" sheetId="3" state="visible" r:id="rId3"/>
    <sheet name="DB Size Trend" sheetId="4" state="visible" r:id="rId4"/>
    <sheet name="Growth Rates" sheetId="5" state="visible" r:id="rId5"/>
    <sheet name="Projection" sheetId="6" state="visible" r:id="rId6"/>
    <sheet name="Chart — DB Data" sheetId="7" state="visible" r:id="rId7"/>
  </sheets>
  <definedNames>
    <definedName name="_xlnm._FilterDatabase" localSheetId="1" hidden="1">'Raw Data'!$A$1:$H$9</definedName>
    <definedName name="_xlnm._FilterDatabase" localSheetId="3" hidden="1">'DB Size Trend'!$A$1:$F$7</definedName>
    <definedName name="_xlnm._FilterDatabase" localSheetId="4" hidden="1">'Growth Rates'!$A$1:$I$5</definedName>
    <definedName name="_xlnm._FilterDatabase" localSheetId="5" hidden="1">'Projection'!$A$1:$AG$5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sz val="10"/>
    </font>
    <font>
      <b val="1"/>
      <color rgb="001F4E79"/>
      <sz val="11"/>
    </font>
    <font>
      <name val="Calibri"/>
      <b val="1"/>
      <color rgb="00FFFFFF"/>
      <sz val="11"/>
    </font>
    <font>
      <name val="Calibri"/>
      <sz val="10"/>
    </font>
    <font>
      <i val="1"/>
      <color rgb="0059595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0" fontId="6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HANA DATA Volume — Used GB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 — DB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— DB Data'!$A$2:$A$3</f>
            </numRef>
          </cat>
          <val>
            <numRef>
              <f>'Chart — DB Data'!$B$2:$B$3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Snapshot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Used 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2">
      <c r="B2" s="1" t="inlineStr">
        <is>
          <t>HANA Volume Tracker — Projection Workbook</t>
        </is>
      </c>
    </row>
    <row r="4">
      <c r="B4" s="2" t="inlineStr">
        <is>
          <t>Generated</t>
        </is>
      </c>
      <c r="C4" s="2" t="inlineStr">
        <is>
          <t>2026-03-22</t>
        </is>
      </c>
    </row>
    <row r="5">
      <c r="B5" s="2" t="inlineStr">
        <is>
          <t>Table snapshot input</t>
        </is>
      </c>
      <c r="C5" s="2" t="inlineStr">
        <is>
          <t>volume-snapshots.csv</t>
        </is>
      </c>
    </row>
    <row r="6">
      <c r="B6" s="2" t="inlineStr">
        <is>
          <t>DB size input</t>
        </is>
      </c>
      <c r="C6" s="2" t="inlineStr">
        <is>
          <t>db-size-snapshots.csv</t>
        </is>
      </c>
    </row>
    <row r="7">
      <c r="B7" s="2" t="inlineStr">
        <is>
          <t>Projection horizon</t>
        </is>
      </c>
      <c r="C7" s="2" t="inlineStr">
        <is>
          <t>13 weeks (~3 months)</t>
        </is>
      </c>
    </row>
    <row r="8">
      <c r="B8" s="2" t="inlineStr"/>
      <c r="C8" s="2" t="inlineStr"/>
    </row>
    <row r="9">
      <c r="B9" s="3" t="inlineStr">
        <is>
          <t>Sheet index</t>
        </is>
      </c>
      <c r="C9" s="2" t="inlineStr"/>
    </row>
    <row r="10">
      <c r="B10" s="2" t="inlineStr">
        <is>
          <t>Raw Data</t>
        </is>
      </c>
      <c r="C10" s="2" t="inlineStr">
        <is>
          <t>All snapshot rows from the CSV</t>
        </is>
      </c>
    </row>
    <row r="11">
      <c r="B11" s="2" t="inlineStr">
        <is>
          <t>Table Trend</t>
        </is>
      </c>
      <c r="C11" s="2" t="inlineStr">
        <is>
          <t>Pivot of record count and memory per table per date</t>
        </is>
      </c>
    </row>
    <row r="12">
      <c r="B12" s="2" t="inlineStr">
        <is>
          <t>DB Size Trend</t>
        </is>
      </c>
      <c r="C12" s="2" t="inlineStr">
        <is>
          <t>Disk usage per volume type with utilization highlights</t>
        </is>
      </c>
    </row>
    <row r="13">
      <c r="B13" s="2" t="inlineStr">
        <is>
          <t>Growth Rates</t>
        </is>
      </c>
      <c r="C13" s="2" t="inlineStr">
        <is>
          <t>Period-over-period delta and percentage change</t>
        </is>
      </c>
    </row>
    <row r="14">
      <c r="B14" s="2" t="inlineStr">
        <is>
          <t>Projection</t>
        </is>
      </c>
      <c r="C14" s="2" t="inlineStr">
        <is>
          <t>Linear extrapolation for the configured horizon</t>
        </is>
      </c>
    </row>
    <row r="15">
      <c r="B15" s="2" t="inlineStr">
        <is>
          <t>Chart — DB Data</t>
        </is>
      </c>
      <c r="C15" s="2" t="inlineStr">
        <is>
          <t>Line chart of DATA volume used over time</t>
        </is>
      </c>
    </row>
    <row r="16">
      <c r="B16" s="2" t="inlineStr"/>
      <c r="C16" s="2" t="inlineStr"/>
    </row>
    <row r="17">
      <c r="B17" s="3" t="inlineStr">
        <is>
          <t>Refresh steps</t>
        </is>
      </c>
      <c r="C17" s="2" t="inlineStr"/>
    </row>
    <row r="18">
      <c r="B18" s="2" t="inlineStr">
        <is>
          <t>1.</t>
        </is>
      </c>
      <c r="C18" s="2" t="inlineStr">
        <is>
          <t>Run scripts/projections/hana_volume_snapshot.sql in HANA Studio</t>
        </is>
      </c>
    </row>
    <row r="19">
      <c r="B19" s="2" t="inlineStr">
        <is>
          <t>2.</t>
        </is>
      </c>
      <c r="C19" s="2" t="inlineStr">
        <is>
          <t>Append Section 1 results to volume-snapshots.csv</t>
        </is>
      </c>
    </row>
    <row r="20">
      <c r="B20" s="2" t="inlineStr">
        <is>
          <t>3.</t>
        </is>
      </c>
      <c r="C20" s="2" t="inlineStr">
        <is>
          <t>Append Section 3 results to db-size-snapshots.csv</t>
        </is>
      </c>
    </row>
    <row r="21">
      <c r="B21" s="2" t="inlineStr">
        <is>
          <t>4.</t>
        </is>
      </c>
      <c r="C21" s="2" t="inlineStr">
        <is>
          <t>Re-run:  python generate_projection_workbook.py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16" customWidth="1" min="4" max="4"/>
    <col width="18" customWidth="1" min="5" max="5"/>
    <col width="16" customWidth="1" min="6" max="6"/>
    <col width="19" customWidth="1" min="7" max="7"/>
    <col width="19" customWidth="1" min="8" max="8"/>
  </cols>
  <sheetData>
    <row r="1">
      <c r="A1" s="4" t="inlineStr">
        <is>
          <t>SNAPSHOT_DATE</t>
        </is>
      </c>
      <c r="B1" s="4" t="inlineStr">
        <is>
          <t>SCHEMA_NAME</t>
        </is>
      </c>
      <c r="C1" s="4" t="inlineStr">
        <is>
          <t>TABLE_NAME</t>
        </is>
      </c>
      <c r="D1" s="4" t="inlineStr">
        <is>
          <t>RECORD_COUNT</t>
        </is>
      </c>
      <c r="E1" s="4" t="inlineStr">
        <is>
          <t>MEMORY_SIZE_MB</t>
        </is>
      </c>
      <c r="F1" s="4" t="inlineStr">
        <is>
          <t>DISK_SIZE_MB</t>
        </is>
      </c>
      <c r="G1" s="4" t="inlineStr">
        <is>
          <t>DELTA_MEMORY_MB</t>
        </is>
      </c>
      <c r="H1" s="4" t="inlineStr">
        <is>
          <t>TOTAL_MEMORY_MB</t>
        </is>
      </c>
    </row>
    <row r="2">
      <c r="A2" s="5" t="inlineStr">
        <is>
          <t>2026-01-01</t>
        </is>
      </c>
      <c r="B2" s="5" t="inlineStr">
        <is>
          <t>FPSL_SCHEMA</t>
        </is>
      </c>
      <c r="C2" s="5" t="inlineStr">
        <is>
          <t>FPSLT_CASH_FLOW</t>
        </is>
      </c>
      <c r="D2" s="6" t="n">
        <v>1250000</v>
      </c>
      <c r="E2" s="6" t="n">
        <v>480.5</v>
      </c>
      <c r="F2" s="6" t="n">
        <v>390.2</v>
      </c>
      <c r="G2" s="6" t="n">
        <v>12.3</v>
      </c>
      <c r="H2" s="6" t="n">
        <v>492.8</v>
      </c>
    </row>
    <row r="3">
      <c r="A3" s="7" t="inlineStr">
        <is>
          <t>2026-01-08</t>
        </is>
      </c>
      <c r="B3" s="7" t="inlineStr">
        <is>
          <t>FPSL_SCHEMA</t>
        </is>
      </c>
      <c r="C3" s="7" t="inlineStr">
        <is>
          <t>FPSLT_CASH_FLOW</t>
        </is>
      </c>
      <c r="D3" s="8" t="n">
        <v>1310000</v>
      </c>
      <c r="E3" s="8" t="n">
        <v>503.2</v>
      </c>
      <c r="F3" s="8" t="n">
        <v>409.1</v>
      </c>
      <c r="G3" s="8" t="n">
        <v>13.1</v>
      </c>
      <c r="H3" s="8" t="n">
        <v>516.3</v>
      </c>
    </row>
    <row r="4">
      <c r="A4" s="5" t="inlineStr">
        <is>
          <t>2026-01-01</t>
        </is>
      </c>
      <c r="B4" s="5" t="inlineStr">
        <is>
          <t>FPSL_SCHEMA</t>
        </is>
      </c>
      <c r="C4" s="5" t="inlineStr">
        <is>
          <t>FPSLT_POSITION</t>
        </is>
      </c>
      <c r="D4" s="6" t="n">
        <v>840000</v>
      </c>
      <c r="E4" s="6" t="n">
        <v>310.1</v>
      </c>
      <c r="F4" s="6" t="n">
        <v>280.4</v>
      </c>
      <c r="G4" s="6" t="n">
        <v>8.1</v>
      </c>
      <c r="H4" s="6" t="n">
        <v>318.2</v>
      </c>
    </row>
    <row r="5">
      <c r="A5" s="7" t="inlineStr">
        <is>
          <t>2026-01-08</t>
        </is>
      </c>
      <c r="B5" s="7" t="inlineStr">
        <is>
          <t>FPSL_SCHEMA</t>
        </is>
      </c>
      <c r="C5" s="7" t="inlineStr">
        <is>
          <t>FPSLT_POSITION</t>
        </is>
      </c>
      <c r="D5" s="8" t="n">
        <v>875000</v>
      </c>
      <c r="E5" s="8" t="n">
        <v>324.8</v>
      </c>
      <c r="F5" s="8" t="n">
        <v>293</v>
      </c>
      <c r="G5" s="8" t="n">
        <v>8.800000000000001</v>
      </c>
      <c r="H5" s="8" t="n">
        <v>333.6</v>
      </c>
    </row>
    <row r="6">
      <c r="A6" s="5" t="inlineStr">
        <is>
          <t>2026-01-01</t>
        </is>
      </c>
      <c r="B6" s="5" t="inlineStr">
        <is>
          <t>FPSL_SCHEMA</t>
        </is>
      </c>
      <c r="C6" s="5" t="inlineStr">
        <is>
          <t>FPSLT_RESULT</t>
        </is>
      </c>
      <c r="D6" s="6" t="n">
        <v>600000</v>
      </c>
      <c r="E6" s="6" t="n">
        <v>220</v>
      </c>
      <c r="F6" s="6" t="n">
        <v>195.6</v>
      </c>
      <c r="G6" s="6" t="n">
        <v>5</v>
      </c>
      <c r="H6" s="6" t="n">
        <v>225</v>
      </c>
    </row>
    <row r="7">
      <c r="A7" s="7" t="inlineStr">
        <is>
          <t>2026-01-08</t>
        </is>
      </c>
      <c r="B7" s="7" t="inlineStr">
        <is>
          <t>FPSL_SCHEMA</t>
        </is>
      </c>
      <c r="C7" s="7" t="inlineStr">
        <is>
          <t>FPSLT_RESULT</t>
        </is>
      </c>
      <c r="D7" s="8" t="n">
        <v>628000</v>
      </c>
      <c r="E7" s="8" t="n">
        <v>230.5</v>
      </c>
      <c r="F7" s="8" t="n">
        <v>204.2</v>
      </c>
      <c r="G7" s="8" t="n">
        <v>5.4</v>
      </c>
      <c r="H7" s="8" t="n">
        <v>235.9</v>
      </c>
    </row>
    <row r="8">
      <c r="A8" s="5" t="inlineStr">
        <is>
          <t>2026-01-01</t>
        </is>
      </c>
      <c r="B8" s="5" t="inlineStr">
        <is>
          <t>FSDM_SCHEMA</t>
        </is>
      </c>
      <c r="C8" s="5" t="inlineStr">
        <is>
          <t>FI_DOCUMENT_ITEM</t>
        </is>
      </c>
      <c r="D8" s="6" t="n">
        <v>3100000</v>
      </c>
      <c r="E8" s="6" t="n">
        <v>1120.8</v>
      </c>
      <c r="F8" s="6" t="n">
        <v>980.3</v>
      </c>
      <c r="G8" s="6" t="n">
        <v>22.5</v>
      </c>
      <c r="H8" s="6" t="n">
        <v>1143.3</v>
      </c>
    </row>
    <row r="9">
      <c r="A9" s="7" t="inlineStr">
        <is>
          <t>2026-01-08</t>
        </is>
      </c>
      <c r="B9" s="7" t="inlineStr">
        <is>
          <t>FSDM_SCHEMA</t>
        </is>
      </c>
      <c r="C9" s="7" t="inlineStr">
        <is>
          <t>FI_DOCUMENT_ITEM</t>
        </is>
      </c>
      <c r="D9" s="8" t="n">
        <v>3240000</v>
      </c>
      <c r="E9" s="8" t="n">
        <v>1172.4</v>
      </c>
      <c r="F9" s="8" t="n">
        <v>1024.6</v>
      </c>
      <c r="G9" s="8" t="n">
        <v>23.8</v>
      </c>
      <c r="H9" s="8" t="n">
        <v>1196.2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1" customWidth="1" min="4" max="4"/>
    <col width="22" customWidth="1" min="5" max="5"/>
    <col width="21" customWidth="1" min="6" max="6"/>
  </cols>
  <sheetData>
    <row r="1">
      <c r="A1" s="4" t="inlineStr">
        <is>
          <t>Schema</t>
        </is>
      </c>
      <c r="B1" s="4" t="inlineStr">
        <is>
          <t>Table</t>
        </is>
      </c>
      <c r="C1" s="4" t="inlineStr">
        <is>
          <t>2026-01-01 Records</t>
        </is>
      </c>
      <c r="D1" s="4" t="inlineStr">
        <is>
          <t>2026-01-01 Mem MB</t>
        </is>
      </c>
      <c r="E1" s="4" t="inlineStr">
        <is>
          <t>2026-01-08 Records</t>
        </is>
      </c>
      <c r="F1" s="4" t="inlineStr">
        <is>
          <t>2026-01-08 Mem MB</t>
        </is>
      </c>
    </row>
    <row r="2">
      <c r="A2" s="5" t="inlineStr">
        <is>
          <t>FPSL_SCHEMA</t>
        </is>
      </c>
      <c r="B2" s="5" t="inlineStr">
        <is>
          <t>FPSLT_CASH_FLOW</t>
        </is>
      </c>
      <c r="C2" s="6" t="n">
        <v>1250000</v>
      </c>
      <c r="D2" s="6" t="n">
        <v>492.8</v>
      </c>
      <c r="E2" s="6" t="n">
        <v>1310000</v>
      </c>
      <c r="F2" s="6" t="n">
        <v>516.3</v>
      </c>
    </row>
    <row r="3">
      <c r="A3" s="7" t="inlineStr">
        <is>
          <t>FPSL_SCHEMA</t>
        </is>
      </c>
      <c r="B3" s="7" t="inlineStr">
        <is>
          <t>FPSLT_POSITION</t>
        </is>
      </c>
      <c r="C3" s="8" t="n">
        <v>840000</v>
      </c>
      <c r="D3" s="8" t="n">
        <v>318.2</v>
      </c>
      <c r="E3" s="8" t="n">
        <v>875000</v>
      </c>
      <c r="F3" s="8" t="n">
        <v>333.6</v>
      </c>
    </row>
    <row r="4">
      <c r="A4" s="5" t="inlineStr">
        <is>
          <t>FPSL_SCHEMA</t>
        </is>
      </c>
      <c r="B4" s="5" t="inlineStr">
        <is>
          <t>FPSLT_RESULT</t>
        </is>
      </c>
      <c r="C4" s="6" t="n">
        <v>600000</v>
      </c>
      <c r="D4" s="6" t="n">
        <v>225</v>
      </c>
      <c r="E4" s="6" t="n">
        <v>628000</v>
      </c>
      <c r="F4" s="6" t="n">
        <v>235.9</v>
      </c>
    </row>
    <row r="5">
      <c r="A5" s="7" t="inlineStr">
        <is>
          <t>FSDM_SCHEMA</t>
        </is>
      </c>
      <c r="B5" s="7" t="inlineStr">
        <is>
          <t>FI_DOCUMENT_ITEM</t>
        </is>
      </c>
      <c r="C5" s="8" t="n">
        <v>3100000</v>
      </c>
      <c r="D5" s="8" t="n">
        <v>1143.3</v>
      </c>
      <c r="E5" s="8" t="n">
        <v>3240000</v>
      </c>
      <c r="F5" s="8" t="n">
        <v>1196.2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11" customWidth="1" min="4" max="4"/>
    <col width="12" customWidth="1" min="5" max="5"/>
    <col width="17" customWidth="1" min="6" max="6"/>
  </cols>
  <sheetData>
    <row r="1">
      <c r="A1" s="4" t="inlineStr">
        <is>
          <t>SNAPSHOT_DATE</t>
        </is>
      </c>
      <c r="B1" s="4" t="inlineStr">
        <is>
          <t>HOST</t>
        </is>
      </c>
      <c r="C1" s="4" t="inlineStr">
        <is>
          <t>VOLUME_TYPE</t>
        </is>
      </c>
      <c r="D1" s="4" t="inlineStr">
        <is>
          <t>USED_GB</t>
        </is>
      </c>
      <c r="E1" s="4" t="inlineStr">
        <is>
          <t>TOTAL_GB</t>
        </is>
      </c>
      <c r="F1" s="4" t="inlineStr">
        <is>
          <t>UTILIZATION_%</t>
        </is>
      </c>
    </row>
    <row r="2">
      <c r="A2" s="5" t="inlineStr">
        <is>
          <t>2026-01-01</t>
        </is>
      </c>
      <c r="B2" s="5" t="inlineStr">
        <is>
          <t>hana-host-01</t>
        </is>
      </c>
      <c r="C2" s="5" t="inlineStr">
        <is>
          <t>DATA</t>
        </is>
      </c>
      <c r="D2" s="6" t="n">
        <v>842.3</v>
      </c>
      <c r="E2" s="6" t="n">
        <v>2048</v>
      </c>
      <c r="F2" s="6" t="n">
        <v>41.13</v>
      </c>
    </row>
    <row r="3">
      <c r="A3" s="7" t="inlineStr">
        <is>
          <t>2026-01-08</t>
        </is>
      </c>
      <c r="B3" s="7" t="inlineStr">
        <is>
          <t>hana-host-01</t>
        </is>
      </c>
      <c r="C3" s="7" t="inlineStr">
        <is>
          <t>DATA</t>
        </is>
      </c>
      <c r="D3" s="8" t="n">
        <v>868.9</v>
      </c>
      <c r="E3" s="8" t="n">
        <v>2048</v>
      </c>
      <c r="F3" s="8" t="n">
        <v>42.43</v>
      </c>
    </row>
    <row r="4">
      <c r="A4" s="5" t="inlineStr">
        <is>
          <t>2026-01-01</t>
        </is>
      </c>
      <c r="B4" s="5" t="inlineStr">
        <is>
          <t>hana-host-01</t>
        </is>
      </c>
      <c r="C4" s="5" t="inlineStr">
        <is>
          <t>LOG</t>
        </is>
      </c>
      <c r="D4" s="6" t="n">
        <v>124.8</v>
      </c>
      <c r="E4" s="6" t="n">
        <v>512</v>
      </c>
      <c r="F4" s="6" t="n">
        <v>24.38</v>
      </c>
    </row>
    <row r="5">
      <c r="A5" s="7" t="inlineStr">
        <is>
          <t>2026-01-08</t>
        </is>
      </c>
      <c r="B5" s="7" t="inlineStr">
        <is>
          <t>hana-host-01</t>
        </is>
      </c>
      <c r="C5" s="7" t="inlineStr">
        <is>
          <t>LOG</t>
        </is>
      </c>
      <c r="D5" s="8" t="n">
        <v>128.4</v>
      </c>
      <c r="E5" s="8" t="n">
        <v>512</v>
      </c>
      <c r="F5" s="8" t="n">
        <v>25.08</v>
      </c>
    </row>
    <row r="6">
      <c r="A6" s="5" t="inlineStr">
        <is>
          <t>2026-01-01</t>
        </is>
      </c>
      <c r="B6" s="5" t="inlineStr">
        <is>
          <t>hana-host-01</t>
        </is>
      </c>
      <c r="C6" s="5" t="inlineStr">
        <is>
          <t>TRACE</t>
        </is>
      </c>
      <c r="D6" s="6" t="n">
        <v>5.2</v>
      </c>
      <c r="E6" s="6" t="n">
        <v>64</v>
      </c>
      <c r="F6" s="6" t="n">
        <v>8.130000000000001</v>
      </c>
    </row>
    <row r="7">
      <c r="A7" s="7" t="inlineStr">
        <is>
          <t>2026-01-08</t>
        </is>
      </c>
      <c r="B7" s="7" t="inlineStr">
        <is>
          <t>hana-host-01</t>
        </is>
      </c>
      <c r="C7" s="7" t="inlineStr">
        <is>
          <t>TRACE</t>
        </is>
      </c>
      <c r="D7" s="8" t="n">
        <v>5.3</v>
      </c>
      <c r="E7" s="8" t="n">
        <v>64</v>
      </c>
      <c r="F7" s="8" t="n">
        <v>8.279999999999999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14" customWidth="1" min="4" max="4"/>
    <col width="13" customWidth="1" min="5" max="5"/>
    <col width="15" customWidth="1" min="6" max="6"/>
    <col width="15" customWidth="1" min="7" max="7"/>
    <col width="14" customWidth="1" min="8" max="8"/>
    <col width="10" customWidth="1" min="9" max="9"/>
  </cols>
  <sheetData>
    <row r="1">
      <c r="A1" s="4" t="inlineStr">
        <is>
          <t>Schema</t>
        </is>
      </c>
      <c r="B1" s="4" t="inlineStr">
        <is>
          <t>Table</t>
        </is>
      </c>
      <c r="C1" s="4" t="inlineStr">
        <is>
          <t>From Date</t>
        </is>
      </c>
      <c r="D1" s="4" t="inlineStr">
        <is>
          <t>To Date</t>
        </is>
      </c>
      <c r="E1" s="4" t="inlineStr">
        <is>
          <t>Δ Records</t>
        </is>
      </c>
      <c r="F1" s="4" t="inlineStr">
        <is>
          <t>Δ Records %</t>
        </is>
      </c>
      <c r="G1" s="4" t="inlineStr">
        <is>
          <t>Δ Memory MB</t>
        </is>
      </c>
      <c r="H1" s="4" t="inlineStr">
        <is>
          <t>Δ Memory %</t>
        </is>
      </c>
      <c r="I1" s="4" t="inlineStr">
        <is>
          <t>Days</t>
        </is>
      </c>
    </row>
    <row r="2">
      <c r="A2" s="5" t="inlineStr">
        <is>
          <t>FPSL_SCHEMA</t>
        </is>
      </c>
      <c r="B2" s="5" t="inlineStr">
        <is>
          <t>FPSLT_CASH_FLOW</t>
        </is>
      </c>
      <c r="C2" s="5" t="inlineStr">
        <is>
          <t>2026-01-01</t>
        </is>
      </c>
      <c r="D2" s="5" t="inlineStr">
        <is>
          <t>2026-01-08</t>
        </is>
      </c>
      <c r="E2" s="6" t="n">
        <v>60000</v>
      </c>
      <c r="F2" s="6" t="n">
        <v>4.8</v>
      </c>
      <c r="G2" s="6" t="n">
        <v>23.5</v>
      </c>
      <c r="H2" s="6" t="n">
        <v>4.77</v>
      </c>
      <c r="I2" s="6" t="n">
        <v>7</v>
      </c>
    </row>
    <row r="3">
      <c r="A3" s="7" t="inlineStr">
        <is>
          <t>FPSL_SCHEMA</t>
        </is>
      </c>
      <c r="B3" s="7" t="inlineStr">
        <is>
          <t>FPSLT_POSITION</t>
        </is>
      </c>
      <c r="C3" s="7" t="inlineStr">
        <is>
          <t>2026-01-01</t>
        </is>
      </c>
      <c r="D3" s="7" t="inlineStr">
        <is>
          <t>2026-01-08</t>
        </is>
      </c>
      <c r="E3" s="8" t="n">
        <v>35000</v>
      </c>
      <c r="F3" s="8" t="n">
        <v>4.17</v>
      </c>
      <c r="G3" s="8" t="n">
        <v>15.4</v>
      </c>
      <c r="H3" s="8" t="n">
        <v>4.84</v>
      </c>
      <c r="I3" s="8" t="n">
        <v>7</v>
      </c>
    </row>
    <row r="4">
      <c r="A4" s="5" t="inlineStr">
        <is>
          <t>FPSL_SCHEMA</t>
        </is>
      </c>
      <c r="B4" s="5" t="inlineStr">
        <is>
          <t>FPSLT_RESULT</t>
        </is>
      </c>
      <c r="C4" s="5" t="inlineStr">
        <is>
          <t>2026-01-01</t>
        </is>
      </c>
      <c r="D4" s="5" t="inlineStr">
        <is>
          <t>2026-01-08</t>
        </is>
      </c>
      <c r="E4" s="6" t="n">
        <v>28000</v>
      </c>
      <c r="F4" s="6" t="n">
        <v>4.67</v>
      </c>
      <c r="G4" s="6" t="n">
        <v>10.9</v>
      </c>
      <c r="H4" s="6" t="n">
        <v>4.84</v>
      </c>
      <c r="I4" s="6" t="n">
        <v>7</v>
      </c>
    </row>
    <row r="5">
      <c r="A5" s="7" t="inlineStr">
        <is>
          <t>FSDM_SCHEMA</t>
        </is>
      </c>
      <c r="B5" s="7" t="inlineStr">
        <is>
          <t>FI_DOCUMENT_ITEM</t>
        </is>
      </c>
      <c r="C5" s="7" t="inlineStr">
        <is>
          <t>2026-01-01</t>
        </is>
      </c>
      <c r="D5" s="7" t="inlineStr">
        <is>
          <t>2026-01-08</t>
        </is>
      </c>
      <c r="E5" s="8" t="n">
        <v>140000</v>
      </c>
      <c r="F5" s="8" t="n">
        <v>4.52</v>
      </c>
      <c r="G5" s="8" t="n">
        <v>52.9</v>
      </c>
      <c r="H5" s="8" t="n">
        <v>4.63</v>
      </c>
      <c r="I5" s="8" t="n">
        <v>7</v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16" customWidth="1" min="4" max="4"/>
    <col width="18" customWidth="1" min="5" max="5"/>
    <col width="21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</cols>
  <sheetData>
    <row r="1">
      <c r="A1" s="4" t="inlineStr">
        <is>
          <t>Schema</t>
        </is>
      </c>
      <c r="B1" s="4" t="inlineStr">
        <is>
          <t>Table</t>
        </is>
      </c>
      <c r="C1" s="4" t="inlineStr">
        <is>
          <t>Last Snapshot Date</t>
        </is>
      </c>
      <c r="D1" s="4" t="inlineStr">
        <is>
          <t>Last Records</t>
        </is>
      </c>
      <c r="E1" s="4" t="inlineStr">
        <is>
          <t>Last Memory MB</t>
        </is>
      </c>
      <c r="F1" s="4" t="inlineStr">
        <is>
          <t>Slope Records/day</t>
        </is>
      </c>
      <c r="G1" s="4" t="inlineStr">
        <is>
          <t>Slope Mem MB/day</t>
        </is>
      </c>
      <c r="H1" s="4" t="inlineStr">
        <is>
          <t>2026-01-15 Records</t>
        </is>
      </c>
      <c r="I1" s="4" t="inlineStr">
        <is>
          <t>2026-01-22 Records</t>
        </is>
      </c>
      <c r="J1" s="4" t="inlineStr">
        <is>
          <t>2026-01-29 Records</t>
        </is>
      </c>
      <c r="K1" s="4" t="inlineStr">
        <is>
          <t>2026-02-05 Records</t>
        </is>
      </c>
      <c r="L1" s="4" t="inlineStr">
        <is>
          <t>2026-02-12 Records</t>
        </is>
      </c>
      <c r="M1" s="4" t="inlineStr">
        <is>
          <t>2026-02-19 Records</t>
        </is>
      </c>
      <c r="N1" s="4" t="inlineStr">
        <is>
          <t>2026-02-26 Records</t>
        </is>
      </c>
      <c r="O1" s="4" t="inlineStr">
        <is>
          <t>2026-03-05 Records</t>
        </is>
      </c>
      <c r="P1" s="4" t="inlineStr">
        <is>
          <t>2026-03-12 Records</t>
        </is>
      </c>
      <c r="Q1" s="4" t="inlineStr">
        <is>
          <t>2026-03-19 Records</t>
        </is>
      </c>
      <c r="R1" s="4" t="inlineStr">
        <is>
          <t>2026-03-26 Records</t>
        </is>
      </c>
      <c r="S1" s="4" t="inlineStr">
        <is>
          <t>2026-04-02 Records</t>
        </is>
      </c>
      <c r="T1" s="4" t="inlineStr">
        <is>
          <t>2026-04-09 Records</t>
        </is>
      </c>
      <c r="U1" s="4" t="inlineStr">
        <is>
          <t>2026-01-15 Mem MB</t>
        </is>
      </c>
      <c r="V1" s="4" t="inlineStr">
        <is>
          <t>2026-01-22 Mem MB</t>
        </is>
      </c>
      <c r="W1" s="4" t="inlineStr">
        <is>
          <t>2026-01-29 Mem MB</t>
        </is>
      </c>
      <c r="X1" s="4" t="inlineStr">
        <is>
          <t>2026-02-05 Mem MB</t>
        </is>
      </c>
      <c r="Y1" s="4" t="inlineStr">
        <is>
          <t>2026-02-12 Mem MB</t>
        </is>
      </c>
      <c r="Z1" s="4" t="inlineStr">
        <is>
          <t>2026-02-19 Mem MB</t>
        </is>
      </c>
      <c r="AA1" s="4" t="inlineStr">
        <is>
          <t>2026-02-26 Mem MB</t>
        </is>
      </c>
      <c r="AB1" s="4" t="inlineStr">
        <is>
          <t>2026-03-05 Mem MB</t>
        </is>
      </c>
      <c r="AC1" s="4" t="inlineStr">
        <is>
          <t>2026-03-12 Mem MB</t>
        </is>
      </c>
      <c r="AD1" s="4" t="inlineStr">
        <is>
          <t>2026-03-19 Mem MB</t>
        </is>
      </c>
      <c r="AE1" s="4" t="inlineStr">
        <is>
          <t>2026-03-26 Mem MB</t>
        </is>
      </c>
      <c r="AF1" s="4" t="inlineStr">
        <is>
          <t>2026-04-02 Mem MB</t>
        </is>
      </c>
      <c r="AG1" s="4" t="inlineStr">
        <is>
          <t>2026-04-09 Mem MB</t>
        </is>
      </c>
    </row>
    <row r="2">
      <c r="A2" s="5" t="inlineStr">
        <is>
          <t>FPSL_SCHEMA</t>
        </is>
      </c>
      <c r="B2" s="5" t="inlineStr">
        <is>
          <t>FPSLT_CASH_FLOW</t>
        </is>
      </c>
      <c r="C2" s="5" t="inlineStr">
        <is>
          <t>2026-01-08</t>
        </is>
      </c>
      <c r="D2" s="6" t="n">
        <v>1310000</v>
      </c>
      <c r="E2" s="6" t="n">
        <v>516.3</v>
      </c>
      <c r="F2" s="6" t="n">
        <v>8571.43</v>
      </c>
      <c r="G2" s="6" t="n">
        <v>3.3571</v>
      </c>
      <c r="H2" s="6" t="n">
        <v>1370000</v>
      </c>
      <c r="I2" s="6" t="n">
        <v>1430000</v>
      </c>
      <c r="J2" s="6" t="n">
        <v>1490000</v>
      </c>
      <c r="K2" s="6" t="n">
        <v>1550000</v>
      </c>
      <c r="L2" s="6" t="n">
        <v>1610000</v>
      </c>
      <c r="M2" s="6" t="n">
        <v>1670000</v>
      </c>
      <c r="N2" s="6" t="n">
        <v>1730000</v>
      </c>
      <c r="O2" s="6" t="n">
        <v>1790000</v>
      </c>
      <c r="P2" s="6" t="n">
        <v>1850000</v>
      </c>
      <c r="Q2" s="6" t="n">
        <v>1910000</v>
      </c>
      <c r="R2" s="6" t="n">
        <v>1970000</v>
      </c>
      <c r="S2" s="6" t="n">
        <v>2030000</v>
      </c>
      <c r="T2" s="6" t="n">
        <v>2090000</v>
      </c>
      <c r="U2" s="6" t="n">
        <v>539.8</v>
      </c>
      <c r="V2" s="6" t="n">
        <v>563.3</v>
      </c>
      <c r="W2" s="6" t="n">
        <v>586.8</v>
      </c>
      <c r="X2" s="6" t="n">
        <v>610.3</v>
      </c>
      <c r="Y2" s="6" t="n">
        <v>633.8</v>
      </c>
      <c r="Z2" s="6" t="n">
        <v>657.3</v>
      </c>
      <c r="AA2" s="6" t="n">
        <v>680.8</v>
      </c>
      <c r="AB2" s="6" t="n">
        <v>704.3</v>
      </c>
      <c r="AC2" s="6" t="n">
        <v>727.8</v>
      </c>
      <c r="AD2" s="6" t="n">
        <v>751.3</v>
      </c>
      <c r="AE2" s="6" t="n">
        <v>774.8</v>
      </c>
      <c r="AF2" s="6" t="n">
        <v>798.3</v>
      </c>
      <c r="AG2" s="6" t="n">
        <v>821.8</v>
      </c>
    </row>
    <row r="3">
      <c r="A3" s="7" t="inlineStr">
        <is>
          <t>FPSL_SCHEMA</t>
        </is>
      </c>
      <c r="B3" s="7" t="inlineStr">
        <is>
          <t>FPSLT_POSITION</t>
        </is>
      </c>
      <c r="C3" s="7" t="inlineStr">
        <is>
          <t>2026-01-08</t>
        </is>
      </c>
      <c r="D3" s="8" t="n">
        <v>875000</v>
      </c>
      <c r="E3" s="8" t="n">
        <v>333.6</v>
      </c>
      <c r="F3" s="8" t="n">
        <v>5000</v>
      </c>
      <c r="G3" s="8" t="n">
        <v>2.2</v>
      </c>
      <c r="H3" s="8" t="n">
        <v>910000</v>
      </c>
      <c r="I3" s="8" t="n">
        <v>945000</v>
      </c>
      <c r="J3" s="8" t="n">
        <v>980000</v>
      </c>
      <c r="K3" s="8" t="n">
        <v>1015000</v>
      </c>
      <c r="L3" s="8" t="n">
        <v>1050000</v>
      </c>
      <c r="M3" s="8" t="n">
        <v>1085000</v>
      </c>
      <c r="N3" s="8" t="n">
        <v>1120000</v>
      </c>
      <c r="O3" s="8" t="n">
        <v>1155000</v>
      </c>
      <c r="P3" s="8" t="n">
        <v>1190000</v>
      </c>
      <c r="Q3" s="8" t="n">
        <v>1225000</v>
      </c>
      <c r="R3" s="8" t="n">
        <v>1260000</v>
      </c>
      <c r="S3" s="8" t="n">
        <v>1295000</v>
      </c>
      <c r="T3" s="8" t="n">
        <v>1330000</v>
      </c>
      <c r="U3" s="8" t="n">
        <v>349</v>
      </c>
      <c r="V3" s="8" t="n">
        <v>364.4</v>
      </c>
      <c r="W3" s="8" t="n">
        <v>379.8</v>
      </c>
      <c r="X3" s="8" t="n">
        <v>395.2</v>
      </c>
      <c r="Y3" s="8" t="n">
        <v>410.6</v>
      </c>
      <c r="Z3" s="8" t="n">
        <v>426</v>
      </c>
      <c r="AA3" s="8" t="n">
        <v>441.4</v>
      </c>
      <c r="AB3" s="8" t="n">
        <v>456.8</v>
      </c>
      <c r="AC3" s="8" t="n">
        <v>472.2</v>
      </c>
      <c r="AD3" s="8" t="n">
        <v>487.6</v>
      </c>
      <c r="AE3" s="8" t="n">
        <v>503</v>
      </c>
      <c r="AF3" s="8" t="n">
        <v>518.4</v>
      </c>
      <c r="AG3" s="8" t="n">
        <v>533.8</v>
      </c>
    </row>
    <row r="4">
      <c r="A4" s="5" t="inlineStr">
        <is>
          <t>FPSL_SCHEMA</t>
        </is>
      </c>
      <c r="B4" s="5" t="inlineStr">
        <is>
          <t>FPSLT_RESULT</t>
        </is>
      </c>
      <c r="C4" s="5" t="inlineStr">
        <is>
          <t>2026-01-08</t>
        </is>
      </c>
      <c r="D4" s="6" t="n">
        <v>628000</v>
      </c>
      <c r="E4" s="6" t="n">
        <v>235.9</v>
      </c>
      <c r="F4" s="6" t="n">
        <v>4000</v>
      </c>
      <c r="G4" s="6" t="n">
        <v>1.5571</v>
      </c>
      <c r="H4" s="6" t="n">
        <v>656000</v>
      </c>
      <c r="I4" s="6" t="n">
        <v>684000</v>
      </c>
      <c r="J4" s="6" t="n">
        <v>712000</v>
      </c>
      <c r="K4" s="6" t="n">
        <v>740000</v>
      </c>
      <c r="L4" s="6" t="n">
        <v>768000</v>
      </c>
      <c r="M4" s="6" t="n">
        <v>796000</v>
      </c>
      <c r="N4" s="6" t="n">
        <v>824000</v>
      </c>
      <c r="O4" s="6" t="n">
        <v>852000</v>
      </c>
      <c r="P4" s="6" t="n">
        <v>880000</v>
      </c>
      <c r="Q4" s="6" t="n">
        <v>908000</v>
      </c>
      <c r="R4" s="6" t="n">
        <v>936000</v>
      </c>
      <c r="S4" s="6" t="n">
        <v>964000</v>
      </c>
      <c r="T4" s="6" t="n">
        <v>992000</v>
      </c>
      <c r="U4" s="6" t="n">
        <v>246.8</v>
      </c>
      <c r="V4" s="6" t="n">
        <v>257.7</v>
      </c>
      <c r="W4" s="6" t="n">
        <v>268.6</v>
      </c>
      <c r="X4" s="6" t="n">
        <v>279.5</v>
      </c>
      <c r="Y4" s="6" t="n">
        <v>290.4</v>
      </c>
      <c r="Z4" s="6" t="n">
        <v>301.3</v>
      </c>
      <c r="AA4" s="6" t="n">
        <v>312.2</v>
      </c>
      <c r="AB4" s="6" t="n">
        <v>323.1</v>
      </c>
      <c r="AC4" s="6" t="n">
        <v>334</v>
      </c>
      <c r="AD4" s="6" t="n">
        <v>344.9</v>
      </c>
      <c r="AE4" s="6" t="n">
        <v>355.8</v>
      </c>
      <c r="AF4" s="6" t="n">
        <v>366.7</v>
      </c>
      <c r="AG4" s="6" t="n">
        <v>377.6</v>
      </c>
    </row>
    <row r="5">
      <c r="A5" s="7" t="inlineStr">
        <is>
          <t>FSDM_SCHEMA</t>
        </is>
      </c>
      <c r="B5" s="7" t="inlineStr">
        <is>
          <t>FI_DOCUMENT_ITEM</t>
        </is>
      </c>
      <c r="C5" s="7" t="inlineStr">
        <is>
          <t>2026-01-08</t>
        </is>
      </c>
      <c r="D5" s="8" t="n">
        <v>3240000</v>
      </c>
      <c r="E5" s="8" t="n">
        <v>1196.2</v>
      </c>
      <c r="F5" s="8" t="n">
        <v>20000</v>
      </c>
      <c r="G5" s="8" t="n">
        <v>7.5571</v>
      </c>
      <c r="H5" s="8" t="n">
        <v>3380000</v>
      </c>
      <c r="I5" s="8" t="n">
        <v>3520000</v>
      </c>
      <c r="J5" s="8" t="n">
        <v>3660000</v>
      </c>
      <c r="K5" s="8" t="n">
        <v>3800000</v>
      </c>
      <c r="L5" s="8" t="n">
        <v>3940000</v>
      </c>
      <c r="M5" s="8" t="n">
        <v>4080000</v>
      </c>
      <c r="N5" s="8" t="n">
        <v>4220000</v>
      </c>
      <c r="O5" s="8" t="n">
        <v>4360000</v>
      </c>
      <c r="P5" s="8" t="n">
        <v>4500000</v>
      </c>
      <c r="Q5" s="8" t="n">
        <v>4640000</v>
      </c>
      <c r="R5" s="8" t="n">
        <v>4780000</v>
      </c>
      <c r="S5" s="8" t="n">
        <v>4920000</v>
      </c>
      <c r="T5" s="8" t="n">
        <v>5060000</v>
      </c>
      <c r="U5" s="8" t="n">
        <v>1249.1</v>
      </c>
      <c r="V5" s="8" t="n">
        <v>1302</v>
      </c>
      <c r="W5" s="8" t="n">
        <v>1354.9</v>
      </c>
      <c r="X5" s="8" t="n">
        <v>1407.8</v>
      </c>
      <c r="Y5" s="8" t="n">
        <v>1460.7</v>
      </c>
      <c r="Z5" s="8" t="n">
        <v>1513.6</v>
      </c>
      <c r="AA5" s="8" t="n">
        <v>1566.5</v>
      </c>
      <c r="AB5" s="8" t="n">
        <v>1619.4</v>
      </c>
      <c r="AC5" s="8" t="n">
        <v>1672.3</v>
      </c>
      <c r="AD5" s="8" t="n">
        <v>1725.2</v>
      </c>
      <c r="AE5" s="8" t="n">
        <v>1778.1</v>
      </c>
      <c r="AF5" s="8" t="n">
        <v>1831</v>
      </c>
      <c r="AG5" s="8" t="n">
        <v>1883.9</v>
      </c>
    </row>
    <row r="7">
      <c r="A7" s="9" t="inlineStr">
        <is>
          <t>NOTE: These projections use a simple ordinary least-squares linear trend. They are estimates only. Refresh monthly by re-running the SQL and regenerating.</t>
        </is>
      </c>
    </row>
  </sheetData>
  <autoFilter ref="A1:A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0" t="inlineStr">
        <is>
          <t>Date</t>
        </is>
      </c>
      <c r="B1" s="10" t="inlineStr">
        <is>
          <t>hana-host-01</t>
        </is>
      </c>
    </row>
    <row r="2">
      <c r="A2" t="inlineStr">
        <is>
          <t>2026-01-01</t>
        </is>
      </c>
      <c r="B2" t="n">
        <v>842.3</v>
      </c>
    </row>
    <row r="3">
      <c r="A3" t="inlineStr">
        <is>
          <t>2026-01-08</t>
        </is>
      </c>
      <c r="B3" t="n">
        <v>868.9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2026-03-21T21:44:10Z</dcterms:created>
  <dcterms:modified xsi:type="dcterms:W3CDTF">2026-03-21T21:44:10Z</dcterms:modified>
</cp:coreProperties>
</file>